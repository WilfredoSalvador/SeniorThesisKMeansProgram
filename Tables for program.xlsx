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75" windowHeight="10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<sst xmlns="http://schemas.openxmlformats.org/spreadsheetml/2006/main" count="69" uniqueCount="69">
  <si>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Barangay</t>
  </si>
  <si>
    <t>Proportion of Households Under Poverty</t>
  </si>
  <si>
    <t>Household Population Under Poverty</t>
  </si>
  <si>
    <t>Households Population with No Access to Clean Water</t>
  </si>
  <si>
    <t>Proportion of households with no access to clean water</t>
  </si>
  <si>
    <t>Number of Households with malnourished children</t>
  </si>
  <si>
    <t>Proportion of households with malnourished children</t>
  </si>
  <si>
    <t>Total number of households</t>
  </si>
  <si>
    <t>Barangay 1 (Pob.)</t>
  </si>
  <si>
    <t>Barangay 2 (Pob.)</t>
  </si>
  <si>
    <t>Barangay 3 (Pob.)</t>
  </si>
  <si>
    <t>Barangay 4 (Pob.)</t>
  </si>
  <si>
    <t>Barangay 5 (Pob.)</t>
  </si>
  <si>
    <t>Barangay 6 (Pob.)</t>
  </si>
  <si>
    <t>Barangay 7 (Pob.)</t>
  </si>
  <si>
    <t>Barangay 8 (Pob.)</t>
  </si>
  <si>
    <t>Barangay 9 (Pob.)</t>
  </si>
  <si>
    <t>Barangay 10 (Pob.)</t>
  </si>
  <si>
    <t>Barangay 11 (Pob.)</t>
  </si>
  <si>
    <t>Barangay 12 (Pob.)</t>
  </si>
  <si>
    <t>Barangay 13 (Pob.)</t>
  </si>
  <si>
    <t>Barangay 14 (Pob.)</t>
  </si>
  <si>
    <t>Barangay 15 (Pob.)</t>
  </si>
  <si>
    <t>Barangay 16 (Pob.)</t>
  </si>
  <si>
    <t>Barangay 17 (Pob.)</t>
  </si>
  <si>
    <t>Barangay 18 (Pob.)</t>
  </si>
  <si>
    <t>Barangay 19 (Pob.)</t>
  </si>
  <si>
    <t>Barangay 20 (Pob.)</t>
  </si>
  <si>
    <t>Barangay 21 (Pob.)</t>
  </si>
  <si>
    <t>Barangay 22 (Pob.)</t>
  </si>
  <si>
    <t>Barangay 23 (Pob.)</t>
  </si>
  <si>
    <t>Barangay 24 (Pob.)</t>
  </si>
  <si>
    <t>Barangay 25 (Pob.)</t>
  </si>
  <si>
    <t>Barangay 26 (Pob.)</t>
  </si>
  <si>
    <t>Barangay 27 (Pob.)</t>
  </si>
  <si>
    <t>Barangay 28 (Pob.)</t>
  </si>
  <si>
    <t>Barangay 29 (Pob.)</t>
  </si>
  <si>
    <t>Barangay 30 (Pob.)</t>
  </si>
  <si>
    <t>Barangay 31 (Pob.)</t>
  </si>
  <si>
    <t>Barangay 32 (Pob.)</t>
  </si>
  <si>
    <t>Barangay 33 (Pob.)</t>
  </si>
  <si>
    <t>Barangay 34 (Pob.)</t>
  </si>
  <si>
    <t>Barangay 35 (Pob.)</t>
  </si>
  <si>
    <t>Barangay 36 (Pob.)</t>
  </si>
  <si>
    <t>Barangay 37 (Pob.)</t>
  </si>
  <si>
    <t>Barangay 38 (Pob.)</t>
  </si>
  <si>
    <t>Barangay 39 (Pob.)</t>
  </si>
  <si>
    <t>Barangay 40 (Pob.)</t>
  </si>
  <si>
    <t>Barangay 41 (Pob.)</t>
  </si>
  <si>
    <t>Alangilan</t>
  </si>
  <si>
    <t>Alijis</t>
  </si>
  <si>
    <t>Banago</t>
  </si>
  <si>
    <t>Bata</t>
  </si>
  <si>
    <t>Cabug</t>
  </si>
  <si>
    <t>Estefania</t>
  </si>
  <si>
    <t>Felisa</t>
  </si>
  <si>
    <t>Granada</t>
  </si>
  <si>
    <t>Haandumanan</t>
  </si>
  <si>
    <t>Mandalagan</t>
  </si>
  <si>
    <t>Mansilingan</t>
  </si>
  <si>
    <t>Montevista</t>
  </si>
  <si>
    <t>Pahanocoy</t>
  </si>
  <si>
    <t>Punta-taytay</t>
  </si>
  <si>
    <t>Singcang</t>
  </si>
  <si>
    <t>Sum-ag</t>
  </si>
  <si>
    <t>Taculing</t>
  </si>
  <si>
    <t>Tangub</t>
  </si>
  <si>
    <t>Villamonte</t>
  </si>
  <si>
    <t>Vista Alegre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</si>
</sst>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_);[Red]\(0.0\)"/>
    <numFmt numFmtId="177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1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zoomScale="70" zoomScaleNormal="70" workbookViewId="0">
      <selection activeCell="B14" sqref="B14"/>
    </sheetView>
  </sheetViews>
  <sheetFormatPr defaultColWidth="9.14285714285714" defaultRowHeight="15" outlineLevelCol="7"/>
  <cols>
    <col min="1" max="1" width="21" customWidth="1"/>
    <col min="2" max="2" width="92.5714285714286" customWidth="1"/>
    <col min="3" max="3" width="38.7142857142857" customWidth="1"/>
    <col min="4" max="4" width="34.4285714285714" customWidth="1"/>
    <col min="5" max="5" width="42.447619047619" customWidth="1"/>
    <col min="6" max="6" width="42.647619047619" customWidth="1"/>
    <col min="7" max="7" width="57.9619047619048" customWidth="1"/>
    <col min="8" max="8" width="29.590476190476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7.4</v>
      </c>
      <c r="C2">
        <v>89</v>
      </c>
      <c r="D2">
        <v>21</v>
      </c>
      <c r="E2" s="1">
        <f>PRODUCT((_xlfn.PERCENTOF(D2,H2)),100)</f>
        <v>1.74129353233831</v>
      </c>
      <c r="F2">
        <v>0</v>
      </c>
      <c r="G2" s="2">
        <f>PRODUCT((_xlfn.PERCENTOF(F2,H2)),100)</f>
        <v>0</v>
      </c>
      <c r="H2">
        <v>1206</v>
      </c>
    </row>
    <row r="3" spans="1:8">
      <c r="A3" t="s">
        <v>9</v>
      </c>
      <c r="B3">
        <v>16.3</v>
      </c>
      <c r="C3">
        <v>167</v>
      </c>
      <c r="D3">
        <v>8</v>
      </c>
      <c r="E3" s="1">
        <f t="shared" ref="E3:E34" si="0">PRODUCT((_xlfn.PERCENTOF(D3,H3)),100)</f>
        <v>0.782778864970646</v>
      </c>
      <c r="F3">
        <v>3</v>
      </c>
      <c r="G3" s="2">
        <f t="shared" ref="G3:G34" si="1">PRODUCT((_xlfn.PERCENTOF(F3,H3)),100)</f>
        <v>0.293542074363992</v>
      </c>
      <c r="H3">
        <v>1022</v>
      </c>
    </row>
    <row r="4" spans="1:8">
      <c r="A4" t="s">
        <v>10</v>
      </c>
      <c r="B4">
        <v>10.8</v>
      </c>
      <c r="C4">
        <v>74</v>
      </c>
      <c r="D4">
        <v>3</v>
      </c>
      <c r="E4" s="1">
        <f t="shared" si="0"/>
        <v>0.436681222707424</v>
      </c>
      <c r="F4">
        <v>2</v>
      </c>
      <c r="G4" s="2">
        <f t="shared" si="1"/>
        <v>0.291120815138282</v>
      </c>
      <c r="H4">
        <v>687</v>
      </c>
    </row>
    <row r="5" spans="1:8">
      <c r="A5" t="s">
        <v>11</v>
      </c>
      <c r="B5">
        <v>5.7</v>
      </c>
      <c r="C5">
        <v>17</v>
      </c>
      <c r="D5">
        <v>6</v>
      </c>
      <c r="E5" s="1">
        <f t="shared" si="0"/>
        <v>2.02702702702703</v>
      </c>
      <c r="F5">
        <v>1</v>
      </c>
      <c r="G5" s="2">
        <f t="shared" si="1"/>
        <v>0.337837837837838</v>
      </c>
      <c r="H5">
        <v>296</v>
      </c>
    </row>
    <row r="6" spans="1:8">
      <c r="A6" t="s">
        <v>12</v>
      </c>
      <c r="B6">
        <v>0.5</v>
      </c>
      <c r="C6">
        <v>1</v>
      </c>
      <c r="D6">
        <v>0</v>
      </c>
      <c r="E6" s="1">
        <f t="shared" si="0"/>
        <v>0</v>
      </c>
      <c r="F6">
        <v>0</v>
      </c>
      <c r="G6" s="2">
        <f t="shared" si="1"/>
        <v>0</v>
      </c>
      <c r="H6">
        <v>188</v>
      </c>
    </row>
    <row r="7" spans="1:8">
      <c r="A7" t="s">
        <v>13</v>
      </c>
      <c r="B7">
        <v>5.4</v>
      </c>
      <c r="C7">
        <v>33</v>
      </c>
      <c r="D7">
        <v>6</v>
      </c>
      <c r="E7" s="1">
        <f t="shared" si="0"/>
        <v>0.983606557377049</v>
      </c>
      <c r="F7">
        <v>3</v>
      </c>
      <c r="G7" s="2">
        <f t="shared" si="1"/>
        <v>0.491803278688525</v>
      </c>
      <c r="H7">
        <v>610</v>
      </c>
    </row>
    <row r="8" spans="1:8">
      <c r="A8" t="s">
        <v>14</v>
      </c>
      <c r="B8">
        <v>4.1</v>
      </c>
      <c r="C8">
        <v>29</v>
      </c>
      <c r="D8">
        <v>4</v>
      </c>
      <c r="E8" s="1">
        <f t="shared" si="0"/>
        <v>0.567375886524823</v>
      </c>
      <c r="F8">
        <v>2</v>
      </c>
      <c r="G8" s="2">
        <f t="shared" si="1"/>
        <v>0.283687943262411</v>
      </c>
      <c r="H8">
        <v>705</v>
      </c>
    </row>
    <row r="9" spans="1:8">
      <c r="A9" t="s">
        <v>15</v>
      </c>
      <c r="B9">
        <v>6.6</v>
      </c>
      <c r="C9">
        <v>15</v>
      </c>
      <c r="D9">
        <v>0</v>
      </c>
      <c r="E9" s="1">
        <f t="shared" si="0"/>
        <v>0</v>
      </c>
      <c r="F9">
        <v>0</v>
      </c>
      <c r="G9" s="2">
        <f t="shared" si="1"/>
        <v>0</v>
      </c>
      <c r="H9">
        <v>229</v>
      </c>
    </row>
    <row r="10" spans="1:8">
      <c r="A10" t="s">
        <v>16</v>
      </c>
      <c r="B10" s="3">
        <v>5</v>
      </c>
      <c r="C10">
        <v>8</v>
      </c>
      <c r="D10">
        <v>1</v>
      </c>
      <c r="E10" s="1">
        <f t="shared" si="0"/>
        <v>0.625</v>
      </c>
      <c r="F10">
        <v>0</v>
      </c>
      <c r="G10" s="2">
        <f t="shared" si="1"/>
        <v>0</v>
      </c>
      <c r="H10">
        <v>160</v>
      </c>
    </row>
    <row r="11" spans="1:8">
      <c r="A11" t="s">
        <v>17</v>
      </c>
      <c r="B11">
        <v>7.8</v>
      </c>
      <c r="C11">
        <v>60</v>
      </c>
      <c r="D11">
        <v>89</v>
      </c>
      <c r="E11" s="1">
        <f t="shared" si="0"/>
        <v>11.6339869281046</v>
      </c>
      <c r="F11">
        <v>1</v>
      </c>
      <c r="G11" s="2">
        <f t="shared" si="1"/>
        <v>0.130718954248366</v>
      </c>
      <c r="H11">
        <v>765</v>
      </c>
    </row>
    <row r="12" spans="1:8">
      <c r="A12" t="s">
        <v>18</v>
      </c>
      <c r="B12">
        <v>6.2</v>
      </c>
      <c r="C12">
        <v>4</v>
      </c>
      <c r="D12">
        <v>0</v>
      </c>
      <c r="E12" s="1">
        <f t="shared" si="0"/>
        <v>0</v>
      </c>
      <c r="F12">
        <v>0</v>
      </c>
      <c r="G12" s="2">
        <f t="shared" si="1"/>
        <v>0</v>
      </c>
      <c r="H12">
        <v>65</v>
      </c>
    </row>
    <row r="13" spans="1:8">
      <c r="A13" t="s">
        <v>19</v>
      </c>
      <c r="B13">
        <v>6.4</v>
      </c>
      <c r="C13">
        <v>23</v>
      </c>
      <c r="D13">
        <v>4</v>
      </c>
      <c r="E13" s="1">
        <f t="shared" si="0"/>
        <v>1.10803324099723</v>
      </c>
      <c r="F13">
        <v>0</v>
      </c>
      <c r="G13" s="2">
        <f t="shared" si="1"/>
        <v>0</v>
      </c>
      <c r="H13">
        <v>361</v>
      </c>
    </row>
    <row r="14" spans="1:8">
      <c r="A14" t="s">
        <v>20</v>
      </c>
      <c r="B14">
        <v>9.5</v>
      </c>
      <c r="C14">
        <v>36</v>
      </c>
      <c r="D14">
        <v>3</v>
      </c>
      <c r="E14" s="1">
        <f t="shared" si="0"/>
        <v>0.789473684210526</v>
      </c>
      <c r="F14">
        <v>1</v>
      </c>
      <c r="G14" s="2">
        <f t="shared" si="1"/>
        <v>0.263157894736842</v>
      </c>
      <c r="H14">
        <v>380</v>
      </c>
    </row>
    <row r="15" spans="1:8">
      <c r="A15" t="s">
        <v>21</v>
      </c>
      <c r="B15" s="3">
        <v>5</v>
      </c>
      <c r="C15">
        <v>32</v>
      </c>
      <c r="D15">
        <v>7</v>
      </c>
      <c r="E15" s="1">
        <f t="shared" si="0"/>
        <v>1.09375</v>
      </c>
      <c r="F15">
        <v>0</v>
      </c>
      <c r="G15" s="2">
        <f t="shared" si="1"/>
        <v>0</v>
      </c>
      <c r="H15">
        <v>640</v>
      </c>
    </row>
    <row r="16" spans="1:8">
      <c r="A16" t="s">
        <v>22</v>
      </c>
      <c r="B16" s="3">
        <v>0</v>
      </c>
      <c r="C16">
        <v>0</v>
      </c>
      <c r="D16">
        <v>0</v>
      </c>
      <c r="E16" s="1">
        <f t="shared" si="0"/>
        <v>0</v>
      </c>
      <c r="F16">
        <v>1</v>
      </c>
      <c r="G16" s="2">
        <f t="shared" si="1"/>
        <v>0.793650793650794</v>
      </c>
      <c r="H16">
        <v>126</v>
      </c>
    </row>
    <row r="17" spans="1:8">
      <c r="A17" t="s">
        <v>23</v>
      </c>
      <c r="B17">
        <v>6.9</v>
      </c>
      <c r="C17">
        <v>77</v>
      </c>
      <c r="D17">
        <v>0</v>
      </c>
      <c r="E17" s="1">
        <f t="shared" si="0"/>
        <v>0</v>
      </c>
      <c r="F17">
        <v>0</v>
      </c>
      <c r="G17" s="2">
        <f t="shared" si="1"/>
        <v>0</v>
      </c>
      <c r="H17">
        <v>1110</v>
      </c>
    </row>
    <row r="18" spans="1:8">
      <c r="A18" t="s">
        <v>24</v>
      </c>
      <c r="B18">
        <v>2.9</v>
      </c>
      <c r="C18">
        <v>18</v>
      </c>
      <c r="D18">
        <v>1</v>
      </c>
      <c r="E18" s="1">
        <f t="shared" si="0"/>
        <v>0.163132137030995</v>
      </c>
      <c r="F18">
        <v>0</v>
      </c>
      <c r="G18" s="2">
        <f t="shared" si="1"/>
        <v>0</v>
      </c>
      <c r="H18">
        <v>613</v>
      </c>
    </row>
    <row r="19" spans="1:8">
      <c r="A19" t="s">
        <v>25</v>
      </c>
      <c r="B19">
        <v>1.8</v>
      </c>
      <c r="C19">
        <v>3</v>
      </c>
      <c r="D19">
        <v>0</v>
      </c>
      <c r="E19" s="1">
        <f t="shared" si="0"/>
        <v>0</v>
      </c>
      <c r="F19">
        <v>0</v>
      </c>
      <c r="G19" s="2">
        <f t="shared" si="1"/>
        <v>0</v>
      </c>
      <c r="H19">
        <v>171</v>
      </c>
    </row>
    <row r="20" spans="1:8">
      <c r="A20" t="s">
        <v>26</v>
      </c>
      <c r="B20">
        <v>1.1</v>
      </c>
      <c r="C20">
        <v>3</v>
      </c>
      <c r="D20">
        <v>1</v>
      </c>
      <c r="E20" s="1">
        <f t="shared" si="0"/>
        <v>0.383141762452107</v>
      </c>
      <c r="F20">
        <v>0</v>
      </c>
      <c r="G20" s="2">
        <f t="shared" si="1"/>
        <v>0</v>
      </c>
      <c r="H20">
        <v>261</v>
      </c>
    </row>
    <row r="21" spans="1:8">
      <c r="A21" t="s">
        <v>27</v>
      </c>
      <c r="B21">
        <v>4.6</v>
      </c>
      <c r="C21">
        <v>9</v>
      </c>
      <c r="D21">
        <v>15</v>
      </c>
      <c r="E21" s="1">
        <f t="shared" si="0"/>
        <v>7.61421319796954</v>
      </c>
      <c r="F21">
        <v>0</v>
      </c>
      <c r="G21" s="2">
        <f t="shared" si="1"/>
        <v>0</v>
      </c>
      <c r="H21">
        <v>197</v>
      </c>
    </row>
    <row r="22" spans="1:8">
      <c r="A22" t="s">
        <v>28</v>
      </c>
      <c r="B22">
        <v>5.9</v>
      </c>
      <c r="C22">
        <v>3</v>
      </c>
      <c r="D22">
        <v>6</v>
      </c>
      <c r="E22" s="1">
        <f t="shared" si="0"/>
        <v>11.7647058823529</v>
      </c>
      <c r="F22">
        <v>0</v>
      </c>
      <c r="G22" s="2">
        <f t="shared" si="1"/>
        <v>0</v>
      </c>
      <c r="H22">
        <v>51</v>
      </c>
    </row>
    <row r="23" spans="1:8">
      <c r="A23" t="s">
        <v>29</v>
      </c>
      <c r="B23">
        <v>9.4</v>
      </c>
      <c r="C23">
        <v>5</v>
      </c>
      <c r="D23">
        <v>11</v>
      </c>
      <c r="E23" s="1">
        <f t="shared" si="0"/>
        <v>20.7547169811321</v>
      </c>
      <c r="F23">
        <v>0</v>
      </c>
      <c r="G23" s="2">
        <f t="shared" si="1"/>
        <v>0</v>
      </c>
      <c r="H23">
        <v>53</v>
      </c>
    </row>
    <row r="24" spans="1:8">
      <c r="A24" t="s">
        <v>30</v>
      </c>
      <c r="B24">
        <v>3.5</v>
      </c>
      <c r="C24">
        <v>6</v>
      </c>
      <c r="D24">
        <v>3</v>
      </c>
      <c r="E24" s="1">
        <f t="shared" si="0"/>
        <v>1.76470588235294</v>
      </c>
      <c r="F24">
        <v>1</v>
      </c>
      <c r="G24" s="2">
        <f t="shared" si="1"/>
        <v>0.588235294117647</v>
      </c>
      <c r="H24">
        <v>170</v>
      </c>
    </row>
    <row r="25" spans="1:8">
      <c r="A25" t="s">
        <v>31</v>
      </c>
      <c r="B25">
        <v>8.3</v>
      </c>
      <c r="C25">
        <v>1</v>
      </c>
      <c r="D25">
        <v>1</v>
      </c>
      <c r="E25" s="1">
        <f t="shared" si="0"/>
        <v>8.33333333333333</v>
      </c>
      <c r="F25">
        <v>0</v>
      </c>
      <c r="G25" s="2">
        <f t="shared" si="1"/>
        <v>0</v>
      </c>
      <c r="H25">
        <v>12</v>
      </c>
    </row>
    <row r="26" spans="1:8">
      <c r="A26" t="s">
        <v>32</v>
      </c>
      <c r="B26">
        <v>6.9</v>
      </c>
      <c r="C26">
        <v>4</v>
      </c>
      <c r="D26">
        <v>3</v>
      </c>
      <c r="E26" s="1">
        <f t="shared" si="0"/>
        <v>5.17241379310345</v>
      </c>
      <c r="F26">
        <v>0</v>
      </c>
      <c r="G26" s="2">
        <f t="shared" si="1"/>
        <v>0</v>
      </c>
      <c r="H26">
        <v>58</v>
      </c>
    </row>
    <row r="27" spans="1:8">
      <c r="A27" t="s">
        <v>33</v>
      </c>
      <c r="B27">
        <v>10.1</v>
      </c>
      <c r="C27">
        <v>30</v>
      </c>
      <c r="D27">
        <v>5</v>
      </c>
      <c r="E27" s="1">
        <f t="shared" si="0"/>
        <v>1.68918918918919</v>
      </c>
      <c r="F27">
        <v>0</v>
      </c>
      <c r="G27" s="2">
        <f t="shared" si="1"/>
        <v>0</v>
      </c>
      <c r="H27">
        <v>296</v>
      </c>
    </row>
    <row r="28" spans="1:8">
      <c r="A28" t="s">
        <v>34</v>
      </c>
      <c r="B28" s="3">
        <v>5</v>
      </c>
      <c r="C28">
        <v>21</v>
      </c>
      <c r="D28">
        <v>57</v>
      </c>
      <c r="E28" s="1">
        <f t="shared" si="0"/>
        <v>13.5714285714286</v>
      </c>
      <c r="F28">
        <v>0</v>
      </c>
      <c r="G28" s="2">
        <f t="shared" si="1"/>
        <v>0</v>
      </c>
      <c r="H28">
        <v>420</v>
      </c>
    </row>
    <row r="29" spans="1:8">
      <c r="A29" t="s">
        <v>35</v>
      </c>
      <c r="B29">
        <v>4.4</v>
      </c>
      <c r="C29">
        <v>13</v>
      </c>
      <c r="D29">
        <v>3</v>
      </c>
      <c r="E29" s="1">
        <f t="shared" si="0"/>
        <v>1.01694915254237</v>
      </c>
      <c r="F29">
        <v>0</v>
      </c>
      <c r="G29" s="2">
        <f t="shared" si="1"/>
        <v>0</v>
      </c>
      <c r="H29">
        <v>295</v>
      </c>
    </row>
    <row r="30" spans="1:8">
      <c r="A30" t="s">
        <v>36</v>
      </c>
      <c r="B30">
        <v>3.4</v>
      </c>
      <c r="C30">
        <v>9</v>
      </c>
      <c r="D30">
        <v>1</v>
      </c>
      <c r="E30" s="1">
        <f t="shared" si="0"/>
        <v>0.383141762452107</v>
      </c>
      <c r="F30">
        <v>1</v>
      </c>
      <c r="G30" s="2">
        <f t="shared" si="1"/>
        <v>0.383141762452107</v>
      </c>
      <c r="H30">
        <v>261</v>
      </c>
    </row>
    <row r="31" spans="1:8">
      <c r="A31" t="s">
        <v>37</v>
      </c>
      <c r="B31">
        <v>5.5</v>
      </c>
      <c r="C31">
        <v>34</v>
      </c>
      <c r="D31">
        <v>9</v>
      </c>
      <c r="E31" s="1">
        <f t="shared" si="0"/>
        <v>1.45867098865478</v>
      </c>
      <c r="F31">
        <v>1</v>
      </c>
      <c r="G31" s="2">
        <f t="shared" si="1"/>
        <v>0.162074554294976</v>
      </c>
      <c r="H31">
        <v>617</v>
      </c>
    </row>
    <row r="32" spans="1:8">
      <c r="A32" t="s">
        <v>38</v>
      </c>
      <c r="B32">
        <v>1.2</v>
      </c>
      <c r="C32">
        <v>3</v>
      </c>
      <c r="D32">
        <v>1</v>
      </c>
      <c r="E32" s="1">
        <f t="shared" si="0"/>
        <v>0.393700787401575</v>
      </c>
      <c r="F32">
        <v>0</v>
      </c>
      <c r="G32" s="2">
        <f t="shared" si="1"/>
        <v>0</v>
      </c>
      <c r="H32">
        <v>254</v>
      </c>
    </row>
    <row r="33" spans="1:8">
      <c r="A33" t="s">
        <v>39</v>
      </c>
      <c r="B33">
        <v>1.9</v>
      </c>
      <c r="C33">
        <v>3</v>
      </c>
      <c r="D33">
        <v>0</v>
      </c>
      <c r="E33" s="1">
        <f t="shared" si="0"/>
        <v>0</v>
      </c>
      <c r="F33">
        <v>0</v>
      </c>
      <c r="G33" s="2">
        <f t="shared" si="1"/>
        <v>0</v>
      </c>
      <c r="H33">
        <v>154</v>
      </c>
    </row>
    <row r="34" spans="1:8">
      <c r="A34" t="s">
        <v>40</v>
      </c>
      <c r="B34">
        <v>1.8</v>
      </c>
      <c r="C34">
        <v>3</v>
      </c>
      <c r="D34">
        <v>0</v>
      </c>
      <c r="E34" s="1">
        <f t="shared" si="0"/>
        <v>0</v>
      </c>
      <c r="F34">
        <v>0</v>
      </c>
      <c r="G34" s="2">
        <f t="shared" si="1"/>
        <v>0</v>
      </c>
      <c r="H34">
        <v>167</v>
      </c>
    </row>
    <row r="35" spans="1:8">
      <c r="A35" t="s">
        <v>41</v>
      </c>
      <c r="B35">
        <v>2.1</v>
      </c>
      <c r="C35">
        <v>4</v>
      </c>
      <c r="D35">
        <v>2</v>
      </c>
      <c r="E35" s="1">
        <f t="shared" ref="E35:E62" si="2">PRODUCT((_xlfn.PERCENTOF(D35,H35)),100)</f>
        <v>1.02564102564103</v>
      </c>
      <c r="F35">
        <v>0</v>
      </c>
      <c r="G35" s="2">
        <f t="shared" ref="G35:G62" si="3">PRODUCT((_xlfn.PERCENTOF(F35,H35)),100)</f>
        <v>0</v>
      </c>
      <c r="H35">
        <v>195</v>
      </c>
    </row>
    <row r="36" spans="1:8">
      <c r="A36" t="s">
        <v>42</v>
      </c>
      <c r="B36">
        <v>6.2</v>
      </c>
      <c r="C36">
        <v>101</v>
      </c>
      <c r="D36">
        <v>48</v>
      </c>
      <c r="E36" s="1">
        <f t="shared" si="2"/>
        <v>2.95384615384615</v>
      </c>
      <c r="F36">
        <v>4</v>
      </c>
      <c r="G36" s="2">
        <f t="shared" si="3"/>
        <v>0.246153846153846</v>
      </c>
      <c r="H36">
        <v>1625</v>
      </c>
    </row>
    <row r="37" spans="1:8">
      <c r="A37" t="s">
        <v>43</v>
      </c>
      <c r="B37">
        <v>4.8</v>
      </c>
      <c r="C37">
        <v>18</v>
      </c>
      <c r="D37">
        <v>2</v>
      </c>
      <c r="E37" s="1">
        <f t="shared" si="2"/>
        <v>0.531914893617021</v>
      </c>
      <c r="F37">
        <v>0</v>
      </c>
      <c r="G37" s="2">
        <f t="shared" si="3"/>
        <v>0</v>
      </c>
      <c r="H37">
        <v>376</v>
      </c>
    </row>
    <row r="38" spans="1:8">
      <c r="A38" t="s">
        <v>44</v>
      </c>
      <c r="B38" s="3">
        <v>2</v>
      </c>
      <c r="C38">
        <v>1</v>
      </c>
      <c r="D38">
        <v>0</v>
      </c>
      <c r="E38" s="1">
        <f t="shared" si="2"/>
        <v>0</v>
      </c>
      <c r="F38">
        <v>0</v>
      </c>
      <c r="G38" s="2">
        <f t="shared" si="3"/>
        <v>0</v>
      </c>
      <c r="H38">
        <v>51</v>
      </c>
    </row>
    <row r="39" spans="1:8">
      <c r="A39" t="s">
        <v>45</v>
      </c>
      <c r="B39">
        <v>1.5</v>
      </c>
      <c r="C39">
        <v>3</v>
      </c>
      <c r="D39">
        <v>0</v>
      </c>
      <c r="E39" s="1">
        <f t="shared" si="2"/>
        <v>0</v>
      </c>
      <c r="F39">
        <v>0</v>
      </c>
      <c r="G39" s="2">
        <f t="shared" si="3"/>
        <v>0</v>
      </c>
      <c r="H39">
        <v>201</v>
      </c>
    </row>
    <row r="40" spans="1:8">
      <c r="A40" t="s">
        <v>46</v>
      </c>
      <c r="B40">
        <v>5.9</v>
      </c>
      <c r="C40">
        <v>30</v>
      </c>
      <c r="D40">
        <v>7</v>
      </c>
      <c r="E40" s="1">
        <f t="shared" si="2"/>
        <v>1.3671875</v>
      </c>
      <c r="F40">
        <v>2</v>
      </c>
      <c r="G40" s="2">
        <f t="shared" si="3"/>
        <v>0.390625</v>
      </c>
      <c r="H40">
        <v>512</v>
      </c>
    </row>
    <row r="41" spans="1:8">
      <c r="A41" t="s">
        <v>47</v>
      </c>
      <c r="B41">
        <v>3.6</v>
      </c>
      <c r="C41">
        <v>29</v>
      </c>
      <c r="D41">
        <v>2</v>
      </c>
      <c r="E41" s="1">
        <f t="shared" si="2"/>
        <v>0.248138957816377</v>
      </c>
      <c r="F41">
        <v>0</v>
      </c>
      <c r="G41" s="2">
        <f t="shared" si="3"/>
        <v>0</v>
      </c>
      <c r="H41">
        <v>806</v>
      </c>
    </row>
    <row r="42" spans="1:8">
      <c r="A42" t="s">
        <v>48</v>
      </c>
      <c r="B42">
        <v>2.6</v>
      </c>
      <c r="C42">
        <v>2</v>
      </c>
      <c r="D42">
        <v>3</v>
      </c>
      <c r="E42" s="1">
        <f t="shared" si="2"/>
        <v>3.94736842105263</v>
      </c>
      <c r="F42">
        <v>0</v>
      </c>
      <c r="G42" s="2">
        <f t="shared" si="3"/>
        <v>0</v>
      </c>
      <c r="H42">
        <v>76</v>
      </c>
    </row>
    <row r="43" spans="1:8">
      <c r="A43" t="s">
        <v>49</v>
      </c>
      <c r="B43">
        <v>11.5</v>
      </c>
      <c r="C43">
        <v>173</v>
      </c>
      <c r="D43">
        <v>1009</v>
      </c>
      <c r="E43" s="1">
        <f t="shared" si="2"/>
        <v>67.2218520986009</v>
      </c>
      <c r="F43">
        <v>1</v>
      </c>
      <c r="G43" s="2">
        <f t="shared" si="3"/>
        <v>0.0666222518321119</v>
      </c>
      <c r="H43">
        <v>1501</v>
      </c>
    </row>
    <row r="44" spans="1:8">
      <c r="A44" t="s">
        <v>50</v>
      </c>
      <c r="B44" s="3">
        <v>5</v>
      </c>
      <c r="C44">
        <v>257</v>
      </c>
      <c r="D44">
        <v>48</v>
      </c>
      <c r="E44" s="1">
        <f t="shared" si="2"/>
        <v>0.936951005270349</v>
      </c>
      <c r="F44">
        <v>3</v>
      </c>
      <c r="G44" s="2">
        <f t="shared" si="3"/>
        <v>0.0585594378293968</v>
      </c>
      <c r="H44">
        <v>5123</v>
      </c>
    </row>
    <row r="45" spans="1:8">
      <c r="A45" t="s">
        <v>51</v>
      </c>
      <c r="B45">
        <v>7.3</v>
      </c>
      <c r="C45">
        <v>374</v>
      </c>
      <c r="D45">
        <v>184</v>
      </c>
      <c r="E45" s="1">
        <f t="shared" si="2"/>
        <v>3.61209265802905</v>
      </c>
      <c r="F45">
        <v>33</v>
      </c>
      <c r="G45" s="2">
        <f t="shared" si="3"/>
        <v>0.647820965842167</v>
      </c>
      <c r="H45">
        <v>5094</v>
      </c>
    </row>
    <row r="46" spans="1:8">
      <c r="A46" t="s">
        <v>52</v>
      </c>
      <c r="B46">
        <v>3.6</v>
      </c>
      <c r="C46">
        <v>171</v>
      </c>
      <c r="D46">
        <v>395</v>
      </c>
      <c r="E46" s="1">
        <f t="shared" si="2"/>
        <v>8.22745261403874</v>
      </c>
      <c r="F46">
        <v>86</v>
      </c>
      <c r="G46" s="2">
        <f t="shared" si="3"/>
        <v>1.79129348052489</v>
      </c>
      <c r="H46">
        <v>4801</v>
      </c>
    </row>
    <row r="47" spans="1:8">
      <c r="A47" t="s">
        <v>53</v>
      </c>
      <c r="B47">
        <v>3.9</v>
      </c>
      <c r="C47">
        <v>82</v>
      </c>
      <c r="D47">
        <v>97</v>
      </c>
      <c r="E47" s="1">
        <f t="shared" si="2"/>
        <v>4.57979225684608</v>
      </c>
      <c r="F47">
        <v>2</v>
      </c>
      <c r="G47" s="2">
        <f t="shared" si="3"/>
        <v>0.0944287063267233</v>
      </c>
      <c r="H47">
        <v>2118</v>
      </c>
    </row>
    <row r="48" spans="1:8">
      <c r="A48" t="s">
        <v>54</v>
      </c>
      <c r="B48">
        <v>1.6</v>
      </c>
      <c r="C48">
        <v>105</v>
      </c>
      <c r="D48">
        <v>215</v>
      </c>
      <c r="E48" s="1">
        <f t="shared" si="2"/>
        <v>3.18377017621798</v>
      </c>
      <c r="F48">
        <v>5</v>
      </c>
      <c r="G48" s="2">
        <f t="shared" si="3"/>
        <v>0.0740411668887902</v>
      </c>
      <c r="H48">
        <v>6753</v>
      </c>
    </row>
    <row r="49" spans="1:8">
      <c r="A49" t="s">
        <v>55</v>
      </c>
      <c r="B49">
        <v>6.1</v>
      </c>
      <c r="C49">
        <v>130</v>
      </c>
      <c r="D49">
        <v>40</v>
      </c>
      <c r="E49" s="1">
        <f t="shared" si="2"/>
        <v>1.86915887850467</v>
      </c>
      <c r="F49">
        <v>0</v>
      </c>
      <c r="G49" s="2">
        <f t="shared" si="3"/>
        <v>0</v>
      </c>
      <c r="H49">
        <v>2140</v>
      </c>
    </row>
    <row r="50" spans="1:8">
      <c r="A50" t="s">
        <v>56</v>
      </c>
      <c r="B50">
        <v>7.7</v>
      </c>
      <c r="C50">
        <v>404</v>
      </c>
      <c r="D50">
        <v>813</v>
      </c>
      <c r="E50" s="1">
        <f t="shared" si="2"/>
        <v>15.5360214026371</v>
      </c>
      <c r="F50">
        <v>36</v>
      </c>
      <c r="G50" s="2">
        <f t="shared" si="3"/>
        <v>0.687941907127843</v>
      </c>
      <c r="H50">
        <v>5233</v>
      </c>
    </row>
    <row r="51" spans="1:8">
      <c r="A51" t="s">
        <v>57</v>
      </c>
      <c r="B51">
        <v>2.8</v>
      </c>
      <c r="C51">
        <v>135</v>
      </c>
      <c r="D51">
        <v>199</v>
      </c>
      <c r="E51" s="1">
        <f t="shared" si="2"/>
        <v>4.08288879770209</v>
      </c>
      <c r="F51">
        <v>5</v>
      </c>
      <c r="G51" s="2">
        <f t="shared" si="3"/>
        <v>0.102585145670907</v>
      </c>
      <c r="H51">
        <v>4874</v>
      </c>
    </row>
    <row r="52" spans="1:8">
      <c r="A52" t="s">
        <v>58</v>
      </c>
      <c r="B52">
        <v>2.5</v>
      </c>
      <c r="C52">
        <v>75</v>
      </c>
      <c r="D52">
        <v>104</v>
      </c>
      <c r="E52" s="1">
        <f t="shared" si="2"/>
        <v>3.40202813215571</v>
      </c>
      <c r="F52">
        <v>1</v>
      </c>
      <c r="G52" s="2">
        <f t="shared" si="3"/>
        <v>0.0327118089630357</v>
      </c>
      <c r="H52">
        <v>3057</v>
      </c>
    </row>
    <row r="53" spans="1:8">
      <c r="A53" t="s">
        <v>59</v>
      </c>
      <c r="B53">
        <v>9.6</v>
      </c>
      <c r="C53">
        <v>356</v>
      </c>
      <c r="D53">
        <v>658</v>
      </c>
      <c r="E53" s="1">
        <f t="shared" si="2"/>
        <v>17.7502023199353</v>
      </c>
      <c r="F53">
        <v>0</v>
      </c>
      <c r="G53" s="2">
        <f t="shared" si="3"/>
        <v>0</v>
      </c>
      <c r="H53">
        <v>3707</v>
      </c>
    </row>
    <row r="54" spans="1:8">
      <c r="A54" t="s">
        <v>60</v>
      </c>
      <c r="B54">
        <v>5.6</v>
      </c>
      <c r="C54">
        <v>10</v>
      </c>
      <c r="D54">
        <v>1</v>
      </c>
      <c r="E54" s="1">
        <f t="shared" si="2"/>
        <v>0.555555555555556</v>
      </c>
      <c r="F54">
        <v>0</v>
      </c>
      <c r="G54" s="2">
        <f t="shared" si="3"/>
        <v>0</v>
      </c>
      <c r="H54">
        <v>180</v>
      </c>
    </row>
    <row r="55" spans="1:8">
      <c r="A55" t="s">
        <v>61</v>
      </c>
      <c r="B55">
        <v>4.5</v>
      </c>
      <c r="C55">
        <v>63</v>
      </c>
      <c r="D55">
        <v>34</v>
      </c>
      <c r="E55" s="1">
        <f t="shared" si="2"/>
        <v>2.41477272727273</v>
      </c>
      <c r="F55">
        <v>3</v>
      </c>
      <c r="G55" s="2">
        <f t="shared" si="3"/>
        <v>0.213068181818182</v>
      </c>
      <c r="H55">
        <v>1408</v>
      </c>
    </row>
    <row r="56" spans="1:8">
      <c r="A56" t="s">
        <v>62</v>
      </c>
      <c r="B56">
        <v>6.7</v>
      </c>
      <c r="C56">
        <v>91</v>
      </c>
      <c r="D56">
        <v>103</v>
      </c>
      <c r="E56" s="1">
        <f t="shared" si="2"/>
        <v>7.57352941176471</v>
      </c>
      <c r="F56">
        <v>4</v>
      </c>
      <c r="G56" s="2">
        <f t="shared" si="3"/>
        <v>0.294117647058824</v>
      </c>
      <c r="H56">
        <v>1360</v>
      </c>
    </row>
    <row r="57" spans="1:8">
      <c r="A57" t="s">
        <v>63</v>
      </c>
      <c r="B57">
        <v>3.4</v>
      </c>
      <c r="C57">
        <v>211</v>
      </c>
      <c r="D57">
        <v>293</v>
      </c>
      <c r="E57" s="1">
        <f t="shared" si="2"/>
        <v>4.72885732730794</v>
      </c>
      <c r="F57">
        <v>3</v>
      </c>
      <c r="G57" s="2">
        <f t="shared" si="3"/>
        <v>0.0484183344092963</v>
      </c>
      <c r="H57">
        <v>6196</v>
      </c>
    </row>
    <row r="58" spans="1:8">
      <c r="A58" t="s">
        <v>64</v>
      </c>
      <c r="B58">
        <v>5.6</v>
      </c>
      <c r="C58">
        <v>171</v>
      </c>
      <c r="D58">
        <v>280</v>
      </c>
      <c r="E58" s="1">
        <f t="shared" si="2"/>
        <v>9.1533180778032</v>
      </c>
      <c r="F58">
        <v>1</v>
      </c>
      <c r="G58" s="2">
        <f t="shared" si="3"/>
        <v>0.03269042170644</v>
      </c>
      <c r="H58">
        <v>3059</v>
      </c>
    </row>
    <row r="59" spans="1:8">
      <c r="A59" t="s">
        <v>65</v>
      </c>
      <c r="B59">
        <v>4.3</v>
      </c>
      <c r="C59">
        <v>246</v>
      </c>
      <c r="D59">
        <v>512</v>
      </c>
      <c r="E59" s="1">
        <f t="shared" si="2"/>
        <v>8.90744606819763</v>
      </c>
      <c r="F59">
        <v>0</v>
      </c>
      <c r="G59" s="2">
        <f t="shared" si="3"/>
        <v>0</v>
      </c>
      <c r="H59">
        <v>5748</v>
      </c>
    </row>
    <row r="60" spans="1:8">
      <c r="A60" t="s">
        <v>66</v>
      </c>
      <c r="B60">
        <v>3.6</v>
      </c>
      <c r="C60">
        <v>192</v>
      </c>
      <c r="D60">
        <v>210</v>
      </c>
      <c r="E60" s="1">
        <f t="shared" si="2"/>
        <v>3.93848462115529</v>
      </c>
      <c r="F60">
        <v>2</v>
      </c>
      <c r="G60" s="2">
        <f t="shared" si="3"/>
        <v>0.0375093773443361</v>
      </c>
      <c r="H60">
        <v>5332</v>
      </c>
    </row>
    <row r="61" spans="1:8">
      <c r="A61" t="s">
        <v>67</v>
      </c>
      <c r="B61">
        <v>2.3</v>
      </c>
      <c r="C61">
        <v>96</v>
      </c>
      <c r="D61">
        <v>392</v>
      </c>
      <c r="E61" s="1">
        <f t="shared" si="2"/>
        <v>9.26933081106645</v>
      </c>
      <c r="F61">
        <v>3</v>
      </c>
      <c r="G61" s="2">
        <f t="shared" si="3"/>
        <v>0.0709387562071412</v>
      </c>
      <c r="H61">
        <v>4229</v>
      </c>
    </row>
    <row r="62" spans="1:8">
      <c r="A62" t="s">
        <v>68</v>
      </c>
      <c r="B62">
        <v>11.9</v>
      </c>
      <c r="C62">
        <v>500</v>
      </c>
      <c r="D62">
        <v>732</v>
      </c>
      <c r="E62" s="1">
        <f t="shared" si="2"/>
        <v>17.3871733966746</v>
      </c>
      <c r="F62">
        <v>95</v>
      </c>
      <c r="G62" s="2">
        <f t="shared" si="3"/>
        <v>2.25653206650831</v>
      </c>
      <c r="H62">
        <v>4210</v>
      </c>
    </row>
    <row r="64" spans="2:4">
      <c r="B64" s="4"/>
      <c r="D6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Wilfredo Salvador</cp:lastModifiedBy>
  <dcterms:created xsi:type="dcterms:W3CDTF">2026-01-03T14:19:00Z</dcterms:created>
  <dcterms:modified xsi:type="dcterms:W3CDTF">2026-01-21T03:26:14Z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26FF7A7F32CB449FAA0F896B35C05CA7_13</vt:lpwstr>
  </property>
  <property fmtid="{D5CDD505-2E9C-101B-9397-08002B2CF9AE}" pid="3" name="KSOProductBuildVer">
    <vt:lpwstr>1033-12.2.0.23196</vt:lpwstr>
  </property>
</Properties>
</file>